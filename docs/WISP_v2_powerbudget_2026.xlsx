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232BCBEC-5F34-4660-B9C3-6399C40A0E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2 Power Budget" sheetId="6" r:id="rId1"/>
    <sheet name="LiPo Battery Spec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15" i="6"/>
  <c r="C4" i="1"/>
  <c r="E4" i="1"/>
  <c r="C19" i="6" s="1"/>
  <c r="F18" i="6" l="1"/>
  <c r="F19" i="6" s="1"/>
  <c r="C22" i="6" s="1"/>
  <c r="C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000-000001000000}">
      <text>
        <r>
          <rPr>
            <sz val="10"/>
            <color rgb="FF000000"/>
            <rFont val="Arial"/>
            <scheme val="minor"/>
          </rPr>
          <t>https://learn.adafruit.com/energy-budgets/making-a-budget</t>
        </r>
      </text>
    </comment>
  </commentList>
</comments>
</file>

<file path=xl/sharedStrings.xml><?xml version="1.0" encoding="utf-8"?>
<sst xmlns="http://schemas.openxmlformats.org/spreadsheetml/2006/main" count="31" uniqueCount="31">
  <si>
    <t>Updated 10/2026</t>
  </si>
  <si>
    <t>Change only highlighted cells</t>
  </si>
  <si>
    <t>Source</t>
  </si>
  <si>
    <t>Viewed from data timestamps</t>
  </si>
  <si>
    <t>Test started (UTC)</t>
  </si>
  <si>
    <t>Test ended (UTC)</t>
  </si>
  <si>
    <t>Peripherals connected/enabled</t>
  </si>
  <si>
    <t>Test duration (s)</t>
  </si>
  <si>
    <t>Total energy transferred (mWh)</t>
  </si>
  <si>
    <r>
      <t>Amortized Values: The amortized values of the duty cycles make the same average current through the inductor, and slightly decreasing energy, look like different voltages and currents at the input and output. (</t>
    </r>
    <r>
      <rPr>
        <u/>
        <sz val="10"/>
        <color rgb="FF1155CC"/>
        <rFont val="Arial"/>
      </rPr>
      <t>Adafruit</t>
    </r>
    <r>
      <rPr>
        <sz val="10"/>
        <color rgb="FF000000"/>
        <rFont val="Arial"/>
        <scheme val="minor"/>
      </rPr>
      <t>)</t>
    </r>
  </si>
  <si>
    <t>LTE enabled</t>
  </si>
  <si>
    <t>DFRobot O3 sensor</t>
  </si>
  <si>
    <t>DFRobot SO2 sensor</t>
  </si>
  <si>
    <t>DFRobot Ozone sensor</t>
  </si>
  <si>
    <t>Sensirion SEN66 sensor</t>
  </si>
  <si>
    <t>SHT31 sensor</t>
  </si>
  <si>
    <t>SD Logging enabled</t>
  </si>
  <si>
    <t>Average Power (mW):</t>
  </si>
  <si>
    <t>Energy (J)</t>
  </si>
  <si>
    <t>battery life (seconds)</t>
  </si>
  <si>
    <t>Battery pack</t>
  </si>
  <si>
    <t>battery life (hours)</t>
  </si>
  <si>
    <t>Battery Life:</t>
  </si>
  <si>
    <t>days</t>
  </si>
  <si>
    <t>hours</t>
  </si>
  <si>
    <t>Voltage (V)</t>
  </si>
  <si>
    <t>Joules per mAh</t>
  </si>
  <si>
    <t>Normal Rating (mAh)</t>
  </si>
  <si>
    <t>Stored Energy (J)</t>
  </si>
  <si>
    <t>Energy = Charge * Voltage</t>
  </si>
  <si>
    <t>Charge (C) = 0.001 Ah * 3600 s/hr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</si>
</sst>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sz val="10"/>
      <name val="Arial"/>
    </font>
    <font>
      <sz val="9"/>
      <color rgb="FF000000"/>
      <name val="Arial"/>
      <scheme val="minor"/>
    </font>
    <font>
      <sz val="18"/>
      <color theme="1"/>
      <name val="Arial"/>
      <scheme val="minor"/>
    </font>
    <font>
      <b/>
      <sz val="9"/>
      <color theme="1"/>
      <name val="Arial"/>
      <scheme val="minor"/>
    </font>
    <font>
      <sz val="14"/>
      <color theme="1"/>
      <name val="Arial"/>
      <scheme val="minor"/>
    </font>
    <font>
      <sz val="14"/>
      <color rgb="FF000000"/>
      <name val="Arial"/>
      <scheme val="minor"/>
    </font>
    <font>
      <b/>
      <sz val="14"/>
      <color theme="1"/>
      <name val="Arial"/>
      <scheme val="minor"/>
    </font>
    <font>
      <sz val="12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3" xfId="0" applyFont="1" applyBorder="1"/>
    <xf numFmtId="0" fontId="2" fillId="0" borderId="5" xfId="0" applyFont="1" applyBorder="1"/>
    <xf numFmtId="0" fontId="4" fillId="0" borderId="0" xfId="0" applyFont="1" applyAlignment="1">
      <alignment wrapText="1"/>
    </xf>
    <xf numFmtId="0" fontId="2" fillId="2" borderId="0" xfId="0" applyFont="1" applyFill="1"/>
    <xf numFmtId="0" fontId="6" fillId="0" borderId="0" xfId="0" applyFont="1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5" fillId="0" borderId="0" xfId="0" applyFont="1"/>
    <xf numFmtId="0" fontId="2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3" borderId="11" xfId="0" applyFont="1" applyFill="1" applyBorder="1"/>
    <xf numFmtId="0" fontId="10" fillId="3" borderId="8" xfId="0" applyFont="1" applyFill="1" applyBorder="1"/>
    <xf numFmtId="0" fontId="9" fillId="3" borderId="7" xfId="0" applyFont="1" applyFill="1" applyBorder="1"/>
    <xf numFmtId="0" fontId="10" fillId="3" borderId="6" xfId="0" applyFont="1" applyFill="1" applyBorder="1"/>
    <xf numFmtId="0" fontId="2" fillId="0" borderId="10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0" borderId="11" xfId="0" applyFont="1" applyBorder="1" applyAlignment="1">
      <alignment horizontal="center"/>
    </xf>
    <xf numFmtId="22" fontId="12" fillId="4" borderId="0" xfId="0" applyNumberFormat="1" applyFont="1" applyFill="1"/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arn.adafruit.com/energy-budgets/multiple-voltages" TargetMode="External"/><Relationship Id="rId1" Type="http://schemas.openxmlformats.org/officeDocument/2006/relationships/hyperlink" Target="https://learn.adafruit.com/energy-budgets/making-a-budg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59B3-71EF-49EF-A583-0D859DED9E8B}">
  <sheetPr>
    <outlinePr summaryBelow="0" summaryRight="0"/>
  </sheetPr>
  <dimension ref="A1:H22"/>
  <sheetViews>
    <sheetView tabSelected="1" workbookViewId="0">
      <selection activeCell="D4" sqref="D4"/>
    </sheetView>
  </sheetViews>
  <sheetFormatPr defaultColWidth="12.5703125" defaultRowHeight="15.75" customHeight="1"/>
  <cols>
    <col min="2" max="2" width="33.5703125" customWidth="1"/>
    <col min="3" max="3" width="24.28515625" customWidth="1"/>
    <col min="4" max="4" width="25.5703125" customWidth="1"/>
    <col min="5" max="5" width="20.5703125" customWidth="1"/>
  </cols>
  <sheetData>
    <row r="1" spans="1:8" ht="12.75">
      <c r="A1" s="5" t="s">
        <v>0</v>
      </c>
      <c r="B1" s="10" t="s">
        <v>1</v>
      </c>
    </row>
    <row r="2" spans="1:8" ht="12.75">
      <c r="A2" s="6" t="s">
        <v>2</v>
      </c>
      <c r="C2" s="11" t="s">
        <v>3</v>
      </c>
    </row>
    <row r="3" spans="1:8" ht="29.25" customHeight="1">
      <c r="A3" s="6"/>
      <c r="B3" t="s">
        <v>4</v>
      </c>
      <c r="C3" s="27">
        <v>46309.852858796294</v>
      </c>
    </row>
    <row r="4" spans="1:8" ht="30.75" customHeight="1">
      <c r="A4" s="6"/>
      <c r="B4" t="s">
        <v>5</v>
      </c>
      <c r="C4" s="27">
        <v>46315.677766203706</v>
      </c>
    </row>
    <row r="5" spans="1:8" ht="12.75">
      <c r="A5" s="6"/>
      <c r="C5" s="11"/>
    </row>
    <row r="6" spans="1:8" ht="24" customHeight="1">
      <c r="A6" s="13"/>
      <c r="B6" s="14" t="s">
        <v>6</v>
      </c>
      <c r="C6" s="12" t="s">
        <v>7</v>
      </c>
      <c r="D6" s="26" t="s">
        <v>8</v>
      </c>
      <c r="E6" s="24"/>
      <c r="G6" s="9" t="s">
        <v>9</v>
      </c>
      <c r="H6" s="9"/>
    </row>
    <row r="7" spans="1:8" ht="15.75" customHeight="1">
      <c r="A7" s="13"/>
      <c r="B7" s="7" t="s">
        <v>10</v>
      </c>
      <c r="C7" s="29">
        <f>(C4-C3)*86400</f>
        <v>503272.00000039302</v>
      </c>
      <c r="D7" s="28">
        <v>55156</v>
      </c>
      <c r="E7" s="5"/>
      <c r="G7" s="9"/>
      <c r="H7" s="9"/>
    </row>
    <row r="8" spans="1:8" ht="15.75" customHeight="1">
      <c r="A8" s="13"/>
      <c r="B8" s="7" t="s">
        <v>11</v>
      </c>
      <c r="C8" s="29"/>
      <c r="D8" s="28"/>
      <c r="E8" s="5"/>
      <c r="G8" s="9"/>
      <c r="H8" s="9"/>
    </row>
    <row r="9" spans="1:8" ht="15.75" customHeight="1">
      <c r="A9" s="13"/>
      <c r="B9" s="7" t="s">
        <v>12</v>
      </c>
      <c r="C9" s="29"/>
      <c r="D9" s="28"/>
      <c r="E9" s="5"/>
      <c r="G9" s="9"/>
      <c r="H9" s="9"/>
    </row>
    <row r="10" spans="1:8" ht="15.75" customHeight="1">
      <c r="A10" s="13"/>
      <c r="B10" s="7" t="s">
        <v>13</v>
      </c>
      <c r="C10" s="29"/>
      <c r="D10" s="28"/>
      <c r="E10" s="5"/>
    </row>
    <row r="11" spans="1:8" ht="15.75" customHeight="1">
      <c r="A11" s="13"/>
      <c r="B11" s="7" t="s">
        <v>14</v>
      </c>
      <c r="C11" s="29"/>
      <c r="D11" s="28"/>
      <c r="E11" s="5"/>
      <c r="G11" s="9"/>
      <c r="H11" s="9"/>
    </row>
    <row r="12" spans="1:8" ht="15.75" customHeight="1">
      <c r="A12" s="13"/>
      <c r="B12" s="7" t="s">
        <v>15</v>
      </c>
      <c r="C12" s="29"/>
      <c r="D12" s="28"/>
      <c r="E12" s="5"/>
      <c r="G12" s="9"/>
      <c r="H12" s="9"/>
    </row>
    <row r="13" spans="1:8" ht="15.75" customHeight="1">
      <c r="A13" s="13"/>
      <c r="B13" s="7" t="s">
        <v>16</v>
      </c>
      <c r="C13" s="29"/>
      <c r="D13" s="28"/>
      <c r="E13" s="25"/>
      <c r="G13" s="9"/>
      <c r="H13" s="9"/>
    </row>
    <row r="14" spans="1:8" ht="15.75" customHeight="1">
      <c r="B14" s="8"/>
      <c r="C14" s="8"/>
    </row>
    <row r="15" spans="1:8" ht="12.75">
      <c r="B15" s="32" t="s">
        <v>17</v>
      </c>
      <c r="C15" s="34">
        <f>ROUND((D7/(C7/3600)),3)</f>
        <v>394.541</v>
      </c>
      <c r="D15" s="16"/>
    </row>
    <row r="16" spans="1:8" ht="12.75">
      <c r="B16" s="33"/>
      <c r="C16" s="35"/>
    </row>
    <row r="17" spans="2:6" ht="15.75" customHeight="1">
      <c r="B17" s="15"/>
      <c r="C17" s="5"/>
    </row>
    <row r="18" spans="2:6" ht="15.75" customHeight="1">
      <c r="B18" s="1"/>
      <c r="C18" s="18" t="s">
        <v>18</v>
      </c>
      <c r="D18" s="17"/>
      <c r="E18" t="s">
        <v>19</v>
      </c>
      <c r="F18">
        <f>(C19/(C15/1000))</f>
        <v>1834029.9233793195</v>
      </c>
    </row>
    <row r="19" spans="2:6" ht="15.75" customHeight="1">
      <c r="B19" s="4" t="s">
        <v>20</v>
      </c>
      <c r="C19" s="23">
        <f>'LiPo Battery Specs'!E4*5</f>
        <v>723600</v>
      </c>
      <c r="D19" s="16"/>
      <c r="E19" t="s">
        <v>21</v>
      </c>
      <c r="F19">
        <f>F18/(60*60)</f>
        <v>509.45275649425542</v>
      </c>
    </row>
    <row r="21" spans="2:6" ht="15.75" customHeight="1">
      <c r="B21" s="30" t="s">
        <v>22</v>
      </c>
      <c r="C21" s="19">
        <f>INT((C19/(C15/1000))/(3600*24))</f>
        <v>21</v>
      </c>
      <c r="D21" s="20" t="s">
        <v>23</v>
      </c>
    </row>
    <row r="22" spans="2:6" ht="15.75" customHeight="1">
      <c r="B22" s="31"/>
      <c r="C22" s="21">
        <f>(F19/24 - TRUNC(F19/24))*24</f>
        <v>5.4527564942554534</v>
      </c>
      <c r="D22" s="22" t="s">
        <v>24</v>
      </c>
    </row>
  </sheetData>
  <mergeCells count="5">
    <mergeCell ref="D7:D13"/>
    <mergeCell ref="C7:C13"/>
    <mergeCell ref="B21:B22"/>
    <mergeCell ref="B15:B16"/>
    <mergeCell ref="C15:C16"/>
  </mergeCells>
  <hyperlinks>
    <hyperlink ref="A2" r:id="rId1" xr:uid="{68E66BF3-B870-43FF-BAAA-CAA2BE4C8207}"/>
    <hyperlink ref="G6" r:id="rId2" xr:uid="{966A9C56-BB19-4025-8E16-64CFC3B2A95A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E7"/>
  <sheetViews>
    <sheetView workbookViewId="0">
      <selection activeCell="B5" sqref="B5"/>
    </sheetView>
  </sheetViews>
  <sheetFormatPr defaultColWidth="12.5703125" defaultRowHeight="15.75" customHeight="1"/>
  <cols>
    <col min="3" max="3" width="14.7109375" customWidth="1"/>
    <col min="4" max="4" width="12.42578125" customWidth="1"/>
    <col min="5" max="5" width="14.85546875" customWidth="1"/>
  </cols>
  <sheetData>
    <row r="3" spans="2:5" ht="24">
      <c r="B3" s="1" t="s">
        <v>25</v>
      </c>
      <c r="C3" s="2" t="s">
        <v>26</v>
      </c>
      <c r="D3" s="2" t="s">
        <v>27</v>
      </c>
      <c r="E3" s="1" t="s">
        <v>28</v>
      </c>
    </row>
    <row r="4" spans="2:5">
      <c r="B4" s="3">
        <v>4</v>
      </c>
      <c r="C4" s="4">
        <f>0.001 * 3600 * B4</f>
        <v>14.4</v>
      </c>
      <c r="D4" s="3">
        <v>10050</v>
      </c>
      <c r="E4" s="4">
        <f>C4*D4</f>
        <v>144720</v>
      </c>
    </row>
    <row r="6" spans="2:5" ht="15.75" customHeight="1">
      <c r="C6" t="s">
        <v>29</v>
      </c>
    </row>
    <row r="7" spans="2:5" ht="15.75" customHeight="1">
      <c r="C7" t="s">
        <v>30</v>
      </c>
    </row>
  </sheetData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624c5c-cf62-45c2-b70d-a617cac2f3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28FBED55124740A1B81D7C1300CAB7" ma:contentTypeVersion="9" ma:contentTypeDescription="Create a new document." ma:contentTypeScope="" ma:versionID="1c69cedda63b243dfc85703932e6c5c3">
  <xsd:schema xmlns:xsd="http://www.w3.org/2001/XMLSchema" xmlns:xs="http://www.w3.org/2001/XMLSchema" xmlns:p="http://schemas.microsoft.com/office/2006/metadata/properties" xmlns:ns2="01624c5c-cf62-45c2-b70d-a617cac2f3bd" targetNamespace="http://schemas.microsoft.com/office/2006/metadata/properties" ma:root="true" ma:fieldsID="847ca20db301e6e07aaf1e18e560e1d9" ns2:_="">
    <xsd:import namespace="01624c5c-cf62-45c2-b70d-a617cac2f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24c5c-cf62-45c2-b70d-a617cac2f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5AE36-7C6A-440E-85FB-67D05BDB0072}"/>
</file>

<file path=customXml/itemProps2.xml><?xml version="1.0" encoding="utf-8"?>
<ds:datastoreItem xmlns:ds="http://schemas.openxmlformats.org/officeDocument/2006/customXml" ds:itemID="{77D22240-091C-4298-BA3D-C832CACAC3EA}"/>
</file>

<file path=customXml/itemProps3.xml><?xml version="1.0" encoding="utf-8"?>
<ds:datastoreItem xmlns:ds="http://schemas.openxmlformats.org/officeDocument/2006/customXml" ds:itemID="{37170631-92B5-48A6-BBDA-05F51BC4D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2026-09-29T21:42:55Z</dcterms:created>
  <dcterms:modified xsi:type="dcterms:W3CDTF">2026-10-25T01:43:45Z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0x0101002128FBED55124740A1B81D7C1300CAB7</vt:lpwstr>
  </property>
  <property fmtid="{D5CDD505-2E9C-101B-9397-08002B2CF9AE}" pid="3" name="MediaServiceImageTags">
    <vt:lpwstr/>
  </property>
</Properties>
</file>